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Arch\Desktop\MapUp-DA-Assessment-2024\"/>
    </mc:Choice>
  </mc:AlternateContent>
  <xr:revisionPtr revIDLastSave="0" documentId="13_ncr:1_{1609329D-F024-49A2-BDE0-7A3DFABEA511}" xr6:coauthVersionLast="47" xr6:coauthVersionMax="47" xr10:uidLastSave="{00000000-0000-0000-0000-000000000000}"/>
  <bookViews>
    <workbookView xWindow="-108" yWindow="-108" windowWidth="23256" windowHeight="12456"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N23" i="20" a="1"/>
  <c r="N23" i="20" s="1"/>
  <c r="M23" i="20" a="1"/>
  <c r="M23" i="20" s="1"/>
  <c r="C22" i="19" a="1"/>
  <c r="C22" i="19" s="1"/>
  <c r="C30" i="18"/>
  <c r="D30" i="18"/>
  <c r="E30" i="18"/>
  <c r="F30" i="18"/>
  <c r="B30" i="18"/>
  <c r="C29" i="18"/>
  <c r="D29" i="18"/>
  <c r="E29" i="18"/>
  <c r="F29" i="18"/>
  <c r="B29" i="18"/>
  <c r="C28" i="18"/>
  <c r="D28" i="18"/>
  <c r="E28" i="18"/>
  <c r="F28" i="18"/>
  <c r="B28" i="18"/>
  <c r="F6" i="18" a="1"/>
  <c r="F6" i="18" s="1"/>
  <c r="E6" i="18" a="1"/>
  <c r="E6" i="18" s="1"/>
  <c r="D6" i="18" a="1"/>
  <c r="D6" i="18" s="1"/>
  <c r="C6" i="18" a="1"/>
  <c r="C6" i="18" s="1"/>
  <c r="B6" i="18" a="1"/>
  <c r="B6" i="18" s="1"/>
  <c r="D5"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<sst xmlns="http://schemas.openxmlformats.org/spreadsheetml/2006/main" count="409" uniqueCount="186">
  <si>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</si>
  <si>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</si>
  <si>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</si>
  <si>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</si>
  <si>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</si>
  <si>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</si>
  <si>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</si>
  <si>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</si>
  <si>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</si>
  <si>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</si>
  <si>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</si>
  <si>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</si>
  <si>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</si>
  <si>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</si>
  <si>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</si>
  <si>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</si>
  <si>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</si>
  <si>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</si>
  <si>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</si>
  <si>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</si>
  <si>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</si>
  <si>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</si>
  <si>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</si>
  <si>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</si>
  <si>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</si>
  <si>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</si>
  <si>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</si>
  <si>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</si>
  <si>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</si>
  <si>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</si>
  <si>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</si>
  <si>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</si>
  <si>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</si>
  <si>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</si>
  <si>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</si>
  <si>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</si>
  <si>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</si>
  <si>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</si>
  <si>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</si>
  <si>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</si>
  <si>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</si>
  <si>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</si>
  <si>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</si>
  <si>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</si>
  <si>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</si>
  <si>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</si>
  <si>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</si>
  <si>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</si>
  <si>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</si>
  <si>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</si>
  <si>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</si>
  <si>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</si>
  <si>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</si>
  <si>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</si>
  <si>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</si>
  <si>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</si>
  <si>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</si>
  <si>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</si>
  <si>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</si>
  <si>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</si>
  <si>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</si>
  <si>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</si>
  <si>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</si>
  <si>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</si>
  <si>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</si>
  <si>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</si>
  <si>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</si>
  <si>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</si>
  <si>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</si>
  <si>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</si>
  <si>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</si>
  <si>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</si>
  <si>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</si>
  <si>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</si>
  <si>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</si>
  <si>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</si>
  <si>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</si>
  <si>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</si>
  <si>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</si>
  <si>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</si>
  <si>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</si>
  <si>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</si>
  <si>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</si>
  <si>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</si>
  <si>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</si>
  <si>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</si>
  <si>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</si>
  <si>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</si>
  <si>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</si>
  <si>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</si>
  <si>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</si>
  <si>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</si>
  <si>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</si>
  <si>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</si>
  <si>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</si>
  <si>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</si>
  <si>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</si>
  <si>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</si>
  <si>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</si>
  <si>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</si>
  <si>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</si>
  <si>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</si>
  <si>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</si>
  <si>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</si>
  <si>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</si>
  <si>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</si>
  <si>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</si>
  <si>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</si>
  <si>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</si>
  <si>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</si>
  <si>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</si>
  <si>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</si>
  <si>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</si>
  <si>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</si>
  <si>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</si>
  <si>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</si>
  <si>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</si>
  <si>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</si>
  <si>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</si>
  <si>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</si>
  <si>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</si>
  <si>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</si>
  <si>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</si>
  <si>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</si>
  <si>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</si>
  <si>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</si>
  <si>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</si>
  <si>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</si>
  <si>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</si>
  <si>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</si>
  <si>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</si>
  <si>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</si>
  <si>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</si>
  <si>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</si>
  <si>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</si>
  <si>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</si>
  <si>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</si>
  <si>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</si>
  <si>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</si>
  <si>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</si>
  <si>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</si>
  <si>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</si>
  <si>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</si>
  <si>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</si>
  <si>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</si>
  <si>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</si>
  <si>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</si>
  <si>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</si>
  <si>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</si>
  <si>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</si>
  <si>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</si>
  <si>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</si>
  <si>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</si>
  <si>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</si>
  <si>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</si>
  <si>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</si>
  <si>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</si>
  <si>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</si>
  <si>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</si>
  <si>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</si>
  <si>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</si>
  <si>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</si>
  <si>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</si>
  <si>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</si>
  <si>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</si>
  <si>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</si>
  <si>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</si>
  <si>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</si>
  <si>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</si>
  <si>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</si>
  <si>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</si>
  <si>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</si>
  <si>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</si>
  <si>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</si>
  <si>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</si>
  <si>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</si>
  <si>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"=SUMIF(H2:H40,"&gt;20",H2:H40)"</t>
  </si>
  <si>
    <t>Data -&gt; Data Tools -&gt; Text to Columns</t>
  </si>
  <si>
    <t>Text to Columns (data tool) can split a string of data using a delimiter like 'Tab-spaces', 'comma', 'semicolon', 'space' and other custom delimiters such as the '-' symbol in our case. On the final screen, its best to choose 'General' column data format so that excel figures out the best data type for that column based on the column data. Finally, view the preview and choose the destination columns, col_1 to col_5, one for each split data in our case.</t>
  </si>
  <si>
    <t>col_2</t>
  </si>
  <si>
    <t>*col_(1,3,4,5,6) renamed to col_(1,2,3,4,5) for sequence</t>
  </si>
  <si>
    <t>Map Table_C ID's to Names</t>
  </si>
  <si>
    <t>"=INDEX($B$10:$J$18,MATCH(M23, $A$10:$A$18, 0),MATCH(N23, $B$9:$J$9, 0))"</t>
  </si>
  <si>
    <t>"=SUM(IFERROR(C12:C21,20))"</t>
  </si>
  <si>
    <r>
      <t xml:space="preserve">Here a simple </t>
    </r>
    <r>
      <rPr>
        <b/>
        <sz val="11"/>
        <color theme="1" tint="0.14999847407452621"/>
        <rFont val="Calibri"/>
        <family val="2"/>
        <scheme val="minor"/>
      </rPr>
      <t>SUM</t>
    </r>
    <r>
      <rPr>
        <sz val="11"/>
        <color theme="1" tint="0.14999847407452621"/>
        <rFont val="Calibri"/>
        <family val="2"/>
        <scheme val="minor"/>
      </rPr>
      <t xml:space="preserve"> function is used, but with an IFERROR clause. The </t>
    </r>
    <r>
      <rPr>
        <b/>
        <sz val="11"/>
        <color theme="1" tint="0.14999847407452621"/>
        <rFont val="Calibri"/>
        <family val="2"/>
        <scheme val="minor"/>
      </rPr>
      <t xml:space="preserve">IFERROR(range, value) </t>
    </r>
    <r>
      <rPr>
        <sz val="11"/>
        <color theme="1" tint="0.14999847407452621"/>
        <rFont val="Calibri"/>
        <family val="2"/>
        <scheme val="minor"/>
      </rPr>
      <t xml:space="preserve">function that takes a range for error(#N/A) check and a value as a substitute for the error(in our case </t>
    </r>
    <r>
      <rPr>
        <b/>
        <sz val="11"/>
        <color theme="1" tint="0.14999847407452621"/>
        <rFont val="Calibri"/>
        <family val="2"/>
        <scheme val="minor"/>
      </rPr>
      <t>20</t>
    </r>
    <r>
      <rPr>
        <sz val="11"/>
        <color theme="1" tint="0.14999847407452621"/>
        <rFont val="Calibri"/>
        <family val="2"/>
        <scheme val="minor"/>
      </rPr>
      <t xml:space="preserve">). Finally the </t>
    </r>
    <r>
      <rPr>
        <b/>
        <sz val="11"/>
        <color theme="1" tint="0.14999847407452621"/>
        <rFont val="Calibri"/>
        <family val="2"/>
        <scheme val="minor"/>
      </rPr>
      <t>SUM</t>
    </r>
    <r>
      <rPr>
        <sz val="11"/>
        <color theme="1" tint="0.14999847407452621"/>
        <rFont val="Calibri"/>
        <family val="2"/>
        <scheme val="minor"/>
      </rPr>
      <t>() does the summation over the range including the substituted values.</t>
    </r>
  </si>
  <si>
    <r>
      <t xml:space="preserve">First we create an XLOOKUP to Map Table_C ID's to Names to a new table. Then we feed the Labels to the </t>
    </r>
    <r>
      <rPr>
        <b/>
        <sz val="11"/>
        <color theme="1" tint="0.14999847407452621"/>
        <rFont val="Calibri"/>
        <family val="2"/>
        <scheme val="minor"/>
      </rPr>
      <t>MATCH(reference, row_range, 0(for exact match))</t>
    </r>
    <r>
      <rPr>
        <sz val="11"/>
        <color theme="1" tint="0.14999847407452621"/>
        <rFont val="Calibri"/>
        <family val="2"/>
        <scheme val="minor"/>
      </rPr>
      <t xml:space="preserve"> function to get the sheet-wise: row_number and the column_number. Finally we feed the obtained row_number, column_number to the </t>
    </r>
    <r>
      <rPr>
        <b/>
        <sz val="11"/>
        <color theme="1" tint="0.14999847407452621"/>
        <rFont val="Calibri"/>
        <family val="2"/>
        <scheme val="minor"/>
      </rPr>
      <t xml:space="preserve">INDEX(table_range, row_number, column_number) </t>
    </r>
    <r>
      <rPr>
        <sz val="11"/>
        <color theme="1" tint="0.14999847407452621"/>
        <rFont val="Calibri"/>
        <family val="2"/>
        <scheme val="minor"/>
      </rPr>
      <t>function</t>
    </r>
    <r>
      <rPr>
        <b/>
        <sz val="11"/>
        <color theme="1" tint="0.14999847407452621"/>
        <rFont val="Calibri"/>
        <family val="2"/>
        <scheme val="minor"/>
      </rPr>
      <t xml:space="preserve"> </t>
    </r>
    <r>
      <rPr>
        <sz val="11"/>
        <color theme="1" tint="0.14999847407452621"/>
        <rFont val="Calibri"/>
        <family val="2"/>
        <scheme val="minor"/>
      </rPr>
      <t>to get the intersection cell value of the corresponding row and column.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</si>
</sst>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21"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4"/>
      <color rgb="FFFF0000"/>
      <name val="Calibri"/>
      <family val="2"/>
      <scheme val="minor"/>
    </font>
    <font>
      <sz val="11"/>
      <color theme="1" tint="0.14999847407452621"/>
      <name val="Calibri"/>
      <family val="2"/>
      <scheme val="minor"/>
    </font>
    <font>
      <b/>
      <sz val="11"/>
      <color theme="1" tint="0.14999847407452621"/>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6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xf numFmtId="0" fontId="8" fillId="0" borderId="1" xfId="0" quotePrefix="1" applyFont="1" applyBorder="1"/>
    <xf numFmtId="0" fontId="8" fillId="0" borderId="13" xfId="0" applyFont="1" applyBorder="1"/>
    <xf numFmtId="0" fontId="8" fillId="0" borderId="14" xfId="0" applyFont="1" applyBorder="1"/>
    <xf numFmtId="0" fontId="8" fillId="0" borderId="8" xfId="0" applyFont="1" applyBorder="1"/>
    <xf numFmtId="0" fontId="14" fillId="0" borderId="1" xfId="0" applyFont="1" applyBorder="1"/>
    <xf numFmtId="0" fontId="13" fillId="0" borderId="0" xfId="0" applyFont="1" applyAlignment="1">
      <alignment horizontal="left"/>
    </xf>
    <xf numFmtId="0" fontId="19" fillId="0" borderId="0" xfId="0" applyFont="1" applyAlignment="1">
      <alignment horizontal="left" vertical="top" wrapText="1"/>
    </xf>
    <xf numFmtId="0" fontId="3" fillId="0" borderId="5" xfId="0" applyFont="1" applyBorder="1" applyAlignment="1">
      <alignment horizontal="center"/>
    </xf>
    <xf numFmtId="0" fontId="7" fillId="0" borderId="0" xfId="0" applyFont="1" applyAlignment="1">
      <alignment horizontal="left" vertical="top"/>
    </xf>
    <xf numFmtId="0" fontId="19" fillId="0" borderId="12" xfId="0" applyFont="1" applyBorder="1" applyAlignment="1">
      <alignment horizontal="left" vertical="top" wrapText="1"/>
    </xf>
    <xf numFmtId="0" fontId="19" fillId="0" borderId="15" xfId="0" applyFont="1" applyBorder="1" applyAlignment="1">
      <alignment horizontal="left" vertical="top" wrapText="1"/>
    </xf>
    <xf numFmtId="0" fontId="19" fillId="0" borderId="13" xfId="0" applyFont="1" applyBorder="1" applyAlignment="1">
      <alignment horizontal="left" vertical="top" wrapText="1"/>
    </xf>
    <xf numFmtId="0" fontId="19" fillId="0" borderId="2" xfId="0" applyFont="1" applyBorder="1" applyAlignment="1">
      <alignment horizontal="left" vertical="top" wrapText="1"/>
    </xf>
    <xf numFmtId="0" fontId="19" fillId="0" borderId="3" xfId="0" applyFont="1" applyBorder="1" applyAlignment="1">
      <alignment horizontal="left" vertical="top" wrapText="1"/>
    </xf>
    <xf numFmtId="0" fontId="19" fillId="0" borderId="4" xfId="0" applyFont="1" applyBorder="1" applyAlignment="1">
      <alignment horizontal="left" vertical="top" wrapText="1"/>
    </xf>
    <xf numFmtId="0" fontId="19" fillId="0" borderId="5" xfId="0" applyFont="1" applyBorder="1" applyAlignment="1">
      <alignment horizontal="left" vertical="top" wrapText="1"/>
    </xf>
    <xf numFmtId="0" fontId="19" fillId="0" borderId="6" xfId="0" applyFont="1" applyBorder="1" applyAlignment="1">
      <alignment horizontal="left" vertical="top" wrapText="1"/>
    </xf>
    <xf numFmtId="0" fontId="18" fillId="0" borderId="0" xfId="0" applyFont="1" applyAlignment="1">
      <alignment horizontal="center" vertical="top" wrapText="1"/>
    </xf>
    <xf numFmtId="0" fontId="15" fillId="0" borderId="0" xfId="0" applyFont="1" applyAlignment="1">
      <alignment horizontal="center" vertical="top" wrapText="1"/>
    </xf>
    <xf numFmtId="0" fontId="7" fillId="0" borderId="0" xfId="0" applyFont="1" applyAlignment="1">
      <alignment horizontal="left"/>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theme="9"/>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20" sqref="A20"/>
    </sheetView>
  </sheetViews>
  <sheetFormatPr defaultColWidth="11" defaultRowHeight="13.8" x14ac:dyDescent="0.3"/>
  <cols>
    <col min="1" max="1" width="70.77734375" style="2" bestFit="1" customWidth="1"/>
    <col min="2" max="16384" width="11" style="2"/>
  </cols>
  <sheetData>
    <row r="1" spans="1:3" ht="18" x14ac:dyDescent="0.35">
      <c r="A1" s="38" t="s">
        <v>107</v>
      </c>
    </row>
    <row r="2" spans="1:3" x14ac:dyDescent="0.3">
      <c r="A2" s="2" t="s">
        <v>108</v>
      </c>
    </row>
    <row r="3" spans="1:3" x14ac:dyDescent="0.3">
      <c r="A3" s="2" t="s">
        <v>109</v>
      </c>
    </row>
    <row r="4" spans="1:3" ht="14.4" x14ac:dyDescent="0.3">
      <c r="A4" s="2" t="s">
        <v>175</v>
      </c>
      <c r="C4" s="1"/>
    </row>
    <row r="5" spans="1:3" x14ac:dyDescent="0.3">
      <c r="A5" s="2" t="s">
        <v>150</v>
      </c>
    </row>
    <row r="8" spans="1:3" x14ac:dyDescent="0.3">
      <c r="A8" s="2" t="s">
        <v>171</v>
      </c>
    </row>
    <row r="9" spans="1:3" x14ac:dyDescent="0.3">
      <c r="A9" s="35" t="s">
        <v>169</v>
      </c>
      <c r="B9" s="26" t="s">
        <v>167</v>
      </c>
    </row>
    <row r="10" spans="1:3" x14ac:dyDescent="0.3">
      <c r="A10" s="34" t="s">
        <v>170</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168</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opLeftCell="L1" zoomScaleNormal="100" workbookViewId="0">
      <pane ySplit="1" topLeftCell="A2" activePane="bottomLeft" state="frozen"/>
      <selection pane="bottomLeft" activeCell="W1" sqref="W1"/>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5" t="s">
        <v>104</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sheetData>
  <conditionalFormatting sqref="A1:A1048576">
    <cfRule type="duplicateValues" dxfId="3" priority="4"/>
  </conditionalFormatting>
  <conditionalFormatting sqref="B1:B1048576">
    <cfRule type="duplicateValues" dxfId="2" priority="3"/>
  </conditionalFormatting>
  <conditionalFormatting sqref="G1:W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abSelected="1"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174</v>
      </c>
    </row>
    <row r="2" spans="1:5" x14ac:dyDescent="0.3">
      <c r="A2" s="2"/>
      <c r="B2" s="5" t="s">
        <v>158</v>
      </c>
      <c r="C2" s="2"/>
    </row>
    <row r="3" spans="1:5" x14ac:dyDescent="0.3">
      <c r="A3" s="6">
        <v>1</v>
      </c>
      <c r="B3" s="2" t="s">
        <v>106</v>
      </c>
      <c r="C3" s="2" t="s">
        <v>45</v>
      </c>
      <c r="E3" s="1">
        <v>5</v>
      </c>
    </row>
    <row r="4" spans="1:5" x14ac:dyDescent="0.3">
      <c r="A4" s="6">
        <v>2</v>
      </c>
      <c r="B4" s="2" t="s">
        <v>46</v>
      </c>
      <c r="C4" s="2"/>
      <c r="E4" s="1">
        <v>5</v>
      </c>
    </row>
    <row r="5" spans="1:5" x14ac:dyDescent="0.3">
      <c r="A5" s="6">
        <v>3</v>
      </c>
      <c r="B5" s="2" t="s">
        <v>103</v>
      </c>
      <c r="C5" s="51" t="s">
        <v>176</v>
      </c>
      <c r="D5" s="17">
        <f>SUMIF(Dataset!H2:H40,"&gt;20",Dataset!H2:H40)</f>
        <v>1473.0000000000002</v>
      </c>
      <c r="E5" s="1">
        <v>10</v>
      </c>
    </row>
    <row r="6" spans="1:5" x14ac:dyDescent="0.3">
      <c r="A6" s="6">
        <v>4</v>
      </c>
      <c r="B6" s="2" t="s">
        <v>105</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5" sqref="B5"/>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54</v>
      </c>
      <c r="B1" s="40" t="s">
        <v>162</v>
      </c>
    </row>
    <row r="2" spans="1:7" s="40" customFormat="1" ht="21" x14ac:dyDescent="0.4">
      <c r="B2" s="40" t="s">
        <v>159</v>
      </c>
    </row>
    <row r="3" spans="1:7" ht="14.4" x14ac:dyDescent="0.3">
      <c r="A3" s="1"/>
      <c r="B3" s="1"/>
      <c r="C3" s="1"/>
      <c r="D3" s="1"/>
      <c r="E3" s="1"/>
      <c r="F3" s="1"/>
      <c r="G3" s="1"/>
    </row>
    <row r="4" spans="1:7" ht="23.4" x14ac:dyDescent="0.45">
      <c r="A4" s="18" t="s">
        <v>160</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cm="1">
        <f t="array" ref="B6:B27">_xlfn.XLOOKUP(A6:A27,Dataset!A2:A40,Dataset!G2:G40)</f>
        <v>2.7</v>
      </c>
      <c r="C6" s="12" cm="1">
        <f t="array" ref="C6:C27">_xlfn.XLOOKUP(A6:A27,Dataset!A2:A40,Dataset!N2:N40)</f>
        <v>7.6</v>
      </c>
      <c r="D6" s="12" cm="1">
        <f t="array" ref="D6:D27">_xlfn.XLOOKUP(A6:A27,Dataset!A2:A40,Dataset!R2:R40)</f>
        <v>4.2</v>
      </c>
      <c r="E6" s="12" cm="1">
        <f t="array" ref="E6:E27">_xlfn.XLOOKUP(A6:A27,Dataset!A2:A40,Dataset!T2:T40)</f>
        <v>8.9</v>
      </c>
      <c r="F6" s="8" cm="1">
        <f t="array" ref="F6:F27">_xlfn.XLOOKUP(A6:A27,Dataset!A2:A40,Dataset!V2:V40)</f>
        <v>4.2</v>
      </c>
    </row>
    <row r="7" spans="1:7" ht="14.4" x14ac:dyDescent="0.3">
      <c r="A7" s="7" t="s">
        <v>4</v>
      </c>
      <c r="B7" s="12">
        <v>2.7</v>
      </c>
      <c r="C7" s="12">
        <v>7.6</v>
      </c>
      <c r="D7" s="12">
        <v>4.2</v>
      </c>
      <c r="E7" s="12">
        <v>8.9</v>
      </c>
      <c r="F7" s="8">
        <v>4.2</v>
      </c>
    </row>
    <row r="8" spans="1:7" ht="14.4" x14ac:dyDescent="0.3">
      <c r="A8" s="7" t="s">
        <v>7</v>
      </c>
      <c r="B8" s="12">
        <v>3.6</v>
      </c>
      <c r="C8" s="12">
        <v>11.1</v>
      </c>
      <c r="D8" s="12">
        <v>5.8</v>
      </c>
      <c r="E8" s="12">
        <v>12.2</v>
      </c>
      <c r="F8" s="8">
        <v>5.8</v>
      </c>
    </row>
    <row r="9" spans="1:7" ht="14.4" x14ac:dyDescent="0.3">
      <c r="A9" s="7" t="s">
        <v>8</v>
      </c>
      <c r="B9" s="12">
        <v>4.9000000000000004</v>
      </c>
      <c r="C9" s="12">
        <v>13.3</v>
      </c>
      <c r="D9" s="12">
        <v>8.1</v>
      </c>
      <c r="E9" s="12">
        <v>17</v>
      </c>
      <c r="F9" s="8">
        <v>8.1</v>
      </c>
    </row>
    <row r="10" spans="1:7" ht="14.4" x14ac:dyDescent="0.3">
      <c r="A10" s="7" t="s">
        <v>11</v>
      </c>
      <c r="B10" s="12">
        <v>9.4</v>
      </c>
      <c r="C10" s="12">
        <v>28.3</v>
      </c>
      <c r="D10" s="12">
        <v>16.100000000000001</v>
      </c>
      <c r="E10" s="12">
        <v>32.799999999999997</v>
      </c>
      <c r="F10" s="8">
        <v>16.100000000000001</v>
      </c>
    </row>
    <row r="11" spans="1:7" ht="14.4" x14ac:dyDescent="0.3">
      <c r="A11" s="7" t="s">
        <v>12</v>
      </c>
      <c r="B11" s="12">
        <v>11.6</v>
      </c>
      <c r="C11" s="12">
        <v>35.200000000000003</v>
      </c>
      <c r="D11" s="12">
        <v>21.3</v>
      </c>
      <c r="E11" s="12">
        <v>43</v>
      </c>
      <c r="F11" s="8">
        <v>21.3</v>
      </c>
    </row>
    <row r="12" spans="1:7" ht="14.4" x14ac:dyDescent="0.3">
      <c r="A12" s="7" t="s">
        <v>14</v>
      </c>
      <c r="B12" s="12">
        <v>18.399999999999999</v>
      </c>
      <c r="C12" s="12">
        <v>55.6</v>
      </c>
      <c r="D12" s="12">
        <v>33.799999999999997</v>
      </c>
      <c r="E12" s="12">
        <v>67.900000000000006</v>
      </c>
      <c r="F12" s="8">
        <v>33.799999999999997</v>
      </c>
    </row>
    <row r="13" spans="1:7" ht="14.4" x14ac:dyDescent="0.3">
      <c r="A13" s="7" t="s">
        <v>15</v>
      </c>
      <c r="B13" s="12">
        <v>0</v>
      </c>
      <c r="C13" s="12">
        <v>0</v>
      </c>
      <c r="D13" s="12">
        <v>0</v>
      </c>
      <c r="E13" s="12">
        <v>0</v>
      </c>
      <c r="F13" s="8">
        <v>0</v>
      </c>
    </row>
    <row r="14" spans="1:7" ht="14.4" x14ac:dyDescent="0.3">
      <c r="A14" s="7" t="s">
        <v>16</v>
      </c>
      <c r="B14" s="12">
        <v>21.9</v>
      </c>
      <c r="C14" s="12">
        <v>61.5</v>
      </c>
      <c r="D14" s="12">
        <v>40.1</v>
      </c>
      <c r="E14" s="12">
        <v>76.599999999999994</v>
      </c>
      <c r="F14" s="8">
        <v>40.1</v>
      </c>
    </row>
    <row r="15" spans="1:7" ht="14.4" x14ac:dyDescent="0.3">
      <c r="A15" s="7" t="s">
        <v>18</v>
      </c>
      <c r="B15" s="12">
        <v>26.8</v>
      </c>
      <c r="C15" s="12">
        <v>79.599999999999994</v>
      </c>
      <c r="D15" s="12">
        <v>47.9</v>
      </c>
      <c r="E15" s="12">
        <v>96.8</v>
      </c>
      <c r="F15" s="8">
        <v>47.9</v>
      </c>
    </row>
    <row r="16" spans="1:7" ht="14.4" x14ac:dyDescent="0.3">
      <c r="A16" s="7" t="s">
        <v>20</v>
      </c>
      <c r="B16" s="12">
        <v>28.5</v>
      </c>
      <c r="C16" s="12">
        <v>85.4</v>
      </c>
      <c r="D16" s="12">
        <v>52.3</v>
      </c>
      <c r="E16" s="12">
        <v>106.1</v>
      </c>
      <c r="F16" s="8">
        <v>52.3</v>
      </c>
    </row>
    <row r="17" spans="1:6" ht="14.4" x14ac:dyDescent="0.3">
      <c r="A17" s="7" t="s">
        <v>22</v>
      </c>
      <c r="B17" s="12">
        <v>30.7</v>
      </c>
      <c r="C17" s="12">
        <v>92.1</v>
      </c>
      <c r="D17" s="12">
        <v>57</v>
      </c>
      <c r="E17" s="12">
        <v>115.1</v>
      </c>
      <c r="F17" s="8">
        <v>57</v>
      </c>
    </row>
    <row r="18" spans="1:6" ht="14.4" x14ac:dyDescent="0.3">
      <c r="A18" s="7" t="s">
        <v>23</v>
      </c>
      <c r="B18" s="12">
        <v>33.799999999999997</v>
      </c>
      <c r="C18" s="12">
        <v>101.3</v>
      </c>
      <c r="D18" s="12">
        <v>61.4</v>
      </c>
      <c r="E18" s="12">
        <v>124.4</v>
      </c>
      <c r="F18" s="8">
        <v>61.4</v>
      </c>
    </row>
    <row r="19" spans="1:6" ht="14.4" x14ac:dyDescent="0.3">
      <c r="A19" s="7" t="s">
        <v>24</v>
      </c>
      <c r="B19" s="12">
        <v>34.700000000000003</v>
      </c>
      <c r="C19" s="12">
        <v>106.1</v>
      </c>
      <c r="D19" s="12">
        <v>63.6</v>
      </c>
      <c r="E19" s="12">
        <v>128.6</v>
      </c>
      <c r="F19" s="8">
        <v>63.6</v>
      </c>
    </row>
    <row r="20" spans="1:6" ht="14.4" x14ac:dyDescent="0.3">
      <c r="A20" s="7" t="s">
        <v>28</v>
      </c>
      <c r="B20" s="12">
        <v>0</v>
      </c>
      <c r="C20" s="12">
        <v>0</v>
      </c>
      <c r="D20" s="12">
        <v>0</v>
      </c>
      <c r="E20" s="12">
        <v>0</v>
      </c>
      <c r="F20" s="8">
        <v>0</v>
      </c>
    </row>
    <row r="21" spans="1:6" ht="14.4" x14ac:dyDescent="0.3">
      <c r="A21" s="7" t="s">
        <v>56</v>
      </c>
      <c r="B21" s="12">
        <v>41.3</v>
      </c>
      <c r="C21" s="12">
        <v>124.4</v>
      </c>
      <c r="D21" s="12">
        <v>75</v>
      </c>
      <c r="E21" s="12">
        <v>151.5</v>
      </c>
      <c r="F21" s="8">
        <v>75</v>
      </c>
    </row>
    <row r="22" spans="1:6" ht="14.4" x14ac:dyDescent="0.3">
      <c r="A22" s="7" t="s">
        <v>57</v>
      </c>
      <c r="B22" s="12">
        <v>-1</v>
      </c>
      <c r="C22" s="12">
        <v>-1</v>
      </c>
      <c r="D22" s="12">
        <v>-1</v>
      </c>
      <c r="E22" s="12">
        <v>-1</v>
      </c>
      <c r="F22" s="8">
        <v>-1</v>
      </c>
    </row>
    <row r="23" spans="1:6" ht="14.4" x14ac:dyDescent="0.3">
      <c r="A23" s="7" t="s">
        <v>31</v>
      </c>
      <c r="B23" s="12">
        <v>45</v>
      </c>
      <c r="C23" s="12">
        <v>133.4</v>
      </c>
      <c r="D23" s="12">
        <v>79.400000000000006</v>
      </c>
      <c r="E23" s="12">
        <v>160.9</v>
      </c>
      <c r="F23" s="8">
        <v>79.400000000000006</v>
      </c>
    </row>
    <row r="24" spans="1:6" ht="14.4" x14ac:dyDescent="0.3">
      <c r="A24" s="7" t="s">
        <v>32</v>
      </c>
      <c r="B24" s="12">
        <v>-1</v>
      </c>
      <c r="C24" s="12">
        <v>-1</v>
      </c>
      <c r="D24" s="12">
        <v>-1</v>
      </c>
      <c r="E24" s="12">
        <v>-1</v>
      </c>
      <c r="F24" s="8">
        <v>-1</v>
      </c>
    </row>
    <row r="25" spans="1:6" ht="14.4" x14ac:dyDescent="0.3">
      <c r="A25" s="7" t="s">
        <v>34</v>
      </c>
      <c r="B25" s="12">
        <v>43.3</v>
      </c>
      <c r="C25" s="12">
        <v>128.6</v>
      </c>
      <c r="D25" s="12">
        <v>79.400000000000006</v>
      </c>
      <c r="E25" s="12">
        <v>160.9</v>
      </c>
      <c r="F25" s="8">
        <v>79.400000000000006</v>
      </c>
    </row>
    <row r="26" spans="1:6" ht="14.4" x14ac:dyDescent="0.3">
      <c r="A26" s="7" t="s">
        <v>37</v>
      </c>
      <c r="B26" s="12">
        <v>49.1</v>
      </c>
      <c r="C26" s="12">
        <v>146.80000000000001</v>
      </c>
      <c r="D26" s="12">
        <v>90.9</v>
      </c>
      <c r="E26" s="12">
        <v>183.5</v>
      </c>
      <c r="F26" s="8">
        <v>90.9</v>
      </c>
    </row>
    <row r="27" spans="1:6" ht="14.4" x14ac:dyDescent="0.3">
      <c r="A27" s="7" t="s">
        <v>39</v>
      </c>
      <c r="B27" s="12">
        <v>51.8</v>
      </c>
      <c r="C27" s="12">
        <v>156.4</v>
      </c>
      <c r="D27" s="12">
        <v>93.1</v>
      </c>
      <c r="E27" s="12">
        <v>188.1</v>
      </c>
      <c r="F27" s="8">
        <v>93.1</v>
      </c>
    </row>
    <row r="28" spans="1:6" ht="14.4" x14ac:dyDescent="0.3">
      <c r="A28" s="19" t="s">
        <v>81</v>
      </c>
      <c r="B28" s="31">
        <f>MIN(_xlfn.ANCHORARRAY(B6))</f>
        <v>-1</v>
      </c>
      <c r="C28" s="31">
        <f t="shared" ref="C28:F28" si="0">MIN(_xlfn.ANCHORARRAY(C6))</f>
        <v>-1</v>
      </c>
      <c r="D28" s="31">
        <f t="shared" si="0"/>
        <v>-1</v>
      </c>
      <c r="E28" s="31">
        <f t="shared" si="0"/>
        <v>-1</v>
      </c>
      <c r="F28" s="31">
        <f t="shared" si="0"/>
        <v>-1</v>
      </c>
    </row>
    <row r="29" spans="1:6" ht="14.4" x14ac:dyDescent="0.3">
      <c r="A29" s="19" t="s">
        <v>82</v>
      </c>
      <c r="B29" s="31">
        <f>MAX(_xlfn.ANCHORARRAY(B6))</f>
        <v>51.8</v>
      </c>
      <c r="C29" s="31">
        <f t="shared" ref="C29:F29" si="1">MAX(_xlfn.ANCHORARRAY(C6))</f>
        <v>156.4</v>
      </c>
      <c r="D29" s="31">
        <f t="shared" si="1"/>
        <v>93.1</v>
      </c>
      <c r="E29" s="31">
        <f t="shared" si="1"/>
        <v>188.1</v>
      </c>
      <c r="F29" s="31">
        <f t="shared" si="1"/>
        <v>93.1</v>
      </c>
    </row>
    <row r="30" spans="1:6" ht="14.4" x14ac:dyDescent="0.3">
      <c r="A30" s="19" t="s">
        <v>83</v>
      </c>
      <c r="B30" s="31">
        <f>ROUND(AVERAGE(_xlfn.ANCHORARRAY(B6)), 2)</f>
        <v>20.83</v>
      </c>
      <c r="C30" s="31">
        <f t="shared" ref="C30:F30" si="2">ROUND(AVERAGE(_xlfn.ANCHORARRAY(C6)), 2)</f>
        <v>62.38</v>
      </c>
      <c r="D30" s="31">
        <f t="shared" si="2"/>
        <v>37.799999999999997</v>
      </c>
      <c r="E30" s="31">
        <f t="shared" si="2"/>
        <v>76.42</v>
      </c>
      <c r="F30" s="31">
        <f t="shared" si="2"/>
        <v>37.799999999999997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5"/>
  <sheetViews>
    <sheetView zoomScaleNormal="100" workbookViewId="0">
      <selection activeCell="B5" sqref="B5:E5"/>
    </sheetView>
  </sheetViews>
  <sheetFormatPr defaultColWidth="11" defaultRowHeight="14.4" x14ac:dyDescent="0.3"/>
  <cols>
    <col min="1" max="1" width="39.77734375" style="1" bestFit="1" customWidth="1"/>
    <col min="2" max="16384" width="11" style="1"/>
  </cols>
  <sheetData>
    <row r="1" spans="1:15" s="40" customFormat="1" ht="21" x14ac:dyDescent="0.4">
      <c r="A1" s="41" t="s">
        <v>55</v>
      </c>
      <c r="B1" s="40" t="s">
        <v>172</v>
      </c>
    </row>
    <row r="2" spans="1:15" customFormat="1" ht="13.2" x14ac:dyDescent="0.25"/>
    <row r="3" spans="1:15" s="2" customFormat="1" x14ac:dyDescent="0.3">
      <c r="B3" s="1"/>
    </row>
    <row r="4" spans="1:15" s="2" customFormat="1" x14ac:dyDescent="0.3">
      <c r="B4" s="1" t="s">
        <v>149</v>
      </c>
    </row>
    <row r="5" spans="1:15" ht="18" x14ac:dyDescent="0.35">
      <c r="A5" s="42" t="s">
        <v>53</v>
      </c>
      <c r="B5" s="52" t="s">
        <v>177</v>
      </c>
      <c r="C5" s="52"/>
      <c r="D5" s="52"/>
      <c r="E5" s="52"/>
    </row>
    <row r="6" spans="1:15" ht="18" customHeight="1" x14ac:dyDescent="0.35">
      <c r="A6" s="42" t="s">
        <v>151</v>
      </c>
      <c r="B6" s="53" t="s">
        <v>178</v>
      </c>
      <c r="C6" s="53"/>
      <c r="D6" s="53"/>
      <c r="E6" s="53"/>
      <c r="F6" s="53"/>
      <c r="G6" s="53"/>
      <c r="H6" s="53"/>
      <c r="I6" s="53"/>
      <c r="J6" s="53"/>
      <c r="K6" s="53"/>
      <c r="L6" s="53"/>
      <c r="M6" s="53"/>
      <c r="N6" s="53"/>
      <c r="O6" s="53"/>
    </row>
    <row r="7" spans="1:15" ht="18" x14ac:dyDescent="0.35">
      <c r="A7" s="42"/>
      <c r="B7" s="53"/>
      <c r="C7" s="53"/>
      <c r="D7" s="53"/>
      <c r="E7" s="53"/>
      <c r="F7" s="53"/>
      <c r="G7" s="53"/>
      <c r="H7" s="53"/>
      <c r="I7" s="53"/>
      <c r="J7" s="53"/>
      <c r="K7" s="53"/>
      <c r="L7" s="53"/>
      <c r="M7" s="53"/>
      <c r="N7" s="53"/>
      <c r="O7" s="53"/>
    </row>
    <row r="8" spans="1:15" ht="18" x14ac:dyDescent="0.35">
      <c r="A8" s="42"/>
      <c r="B8" s="53"/>
      <c r="C8" s="53"/>
      <c r="D8" s="53"/>
      <c r="E8" s="53"/>
      <c r="F8" s="53"/>
      <c r="G8" s="53"/>
      <c r="H8" s="53"/>
      <c r="I8" s="53"/>
      <c r="J8" s="53"/>
      <c r="K8" s="53"/>
      <c r="L8" s="53"/>
      <c r="M8" s="53"/>
      <c r="N8" s="53"/>
      <c r="O8" s="53"/>
    </row>
    <row r="9" spans="1:15" x14ac:dyDescent="0.3">
      <c r="B9" s="53"/>
      <c r="C9" s="53"/>
      <c r="D9" s="53"/>
      <c r="E9" s="53"/>
      <c r="F9" s="53"/>
      <c r="G9" s="53"/>
      <c r="H9" s="53"/>
      <c r="I9" s="53"/>
      <c r="J9" s="53"/>
      <c r="K9" s="53"/>
      <c r="L9" s="53"/>
      <c r="M9" s="53"/>
      <c r="N9" s="53"/>
      <c r="O9" s="53"/>
    </row>
    <row r="10" spans="1:15" ht="23.4" x14ac:dyDescent="0.45">
      <c r="A10" s="18" t="s">
        <v>163</v>
      </c>
      <c r="B10" s="54" t="s">
        <v>180</v>
      </c>
      <c r="C10" s="54"/>
      <c r="D10" s="54"/>
      <c r="E10" s="54"/>
      <c r="F10" s="54"/>
      <c r="I10" s="2"/>
      <c r="J10" s="2"/>
    </row>
    <row r="11" spans="1:15" x14ac:dyDescent="0.3">
      <c r="A11" s="33" t="s">
        <v>101</v>
      </c>
      <c r="B11" s="17" t="s">
        <v>49</v>
      </c>
      <c r="C11" s="17" t="s">
        <v>179</v>
      </c>
      <c r="D11" s="17" t="s">
        <v>50</v>
      </c>
      <c r="E11" s="17" t="s">
        <v>51</v>
      </c>
      <c r="F11" s="17" t="s">
        <v>52</v>
      </c>
      <c r="I11" s="2"/>
      <c r="J11" s="2"/>
    </row>
    <row r="12" spans="1:15" x14ac:dyDescent="0.3">
      <c r="A12" s="9" t="s">
        <v>119</v>
      </c>
      <c r="B12" s="13">
        <v>20000</v>
      </c>
      <c r="C12" s="13" t="s">
        <v>5</v>
      </c>
      <c r="D12" s="13">
        <v>0</v>
      </c>
      <c r="E12" s="11" t="s">
        <v>6</v>
      </c>
      <c r="F12" s="11">
        <v>24</v>
      </c>
      <c r="I12" s="2"/>
      <c r="J12" s="2"/>
    </row>
    <row r="15" spans="1:15" ht="23.4" x14ac:dyDescent="0.45">
      <c r="A15" s="18" t="s">
        <v>160</v>
      </c>
    </row>
    <row r="16" spans="1:15" x14ac:dyDescent="0.3">
      <c r="A16" s="14" t="s">
        <v>102</v>
      </c>
      <c r="B16" s="17" t="s">
        <v>49</v>
      </c>
      <c r="C16" s="15" t="s">
        <v>179</v>
      </c>
      <c r="D16" s="17" t="s">
        <v>50</v>
      </c>
      <c r="E16" s="15" t="s">
        <v>51</v>
      </c>
      <c r="F16" s="17" t="s">
        <v>52</v>
      </c>
    </row>
    <row r="17" spans="1:6" x14ac:dyDescent="0.3">
      <c r="A17" s="7" t="s">
        <v>119</v>
      </c>
      <c r="B17" s="12">
        <v>20000</v>
      </c>
      <c r="C17" s="1" t="s">
        <v>5</v>
      </c>
      <c r="D17" s="12">
        <v>0</v>
      </c>
      <c r="E17" s="1" t="s">
        <v>6</v>
      </c>
      <c r="F17" s="12">
        <v>24</v>
      </c>
    </row>
    <row r="18" spans="1:6" x14ac:dyDescent="0.3">
      <c r="A18" s="7" t="s">
        <v>120</v>
      </c>
      <c r="B18" s="12">
        <v>20002</v>
      </c>
      <c r="C18" s="1" t="s">
        <v>5</v>
      </c>
      <c r="D18" s="12">
        <v>0</v>
      </c>
      <c r="E18" s="1" t="s">
        <v>6</v>
      </c>
      <c r="F18" s="12">
        <v>24</v>
      </c>
    </row>
    <row r="19" spans="1:6" x14ac:dyDescent="0.3">
      <c r="A19" s="7" t="s">
        <v>121</v>
      </c>
      <c r="B19" s="12">
        <v>20004</v>
      </c>
      <c r="C19" s="1" t="s">
        <v>5</v>
      </c>
      <c r="D19" s="12">
        <v>0</v>
      </c>
      <c r="E19" s="1" t="s">
        <v>6</v>
      </c>
      <c r="F19" s="12">
        <v>24</v>
      </c>
    </row>
    <row r="20" spans="1:6" x14ac:dyDescent="0.3">
      <c r="A20" s="7" t="s">
        <v>122</v>
      </c>
      <c r="B20" s="12">
        <v>20006</v>
      </c>
      <c r="C20" s="1" t="s">
        <v>5</v>
      </c>
      <c r="D20" s="12">
        <v>0</v>
      </c>
      <c r="E20" s="1" t="s">
        <v>6</v>
      </c>
      <c r="F20" s="12">
        <v>24</v>
      </c>
    </row>
    <row r="21" spans="1:6" x14ac:dyDescent="0.3">
      <c r="A21" s="7" t="s">
        <v>123</v>
      </c>
      <c r="B21" s="12">
        <v>20008</v>
      </c>
      <c r="C21" s="1" t="s">
        <v>5</v>
      </c>
      <c r="D21" s="12">
        <v>0</v>
      </c>
      <c r="E21" s="1" t="s">
        <v>6</v>
      </c>
      <c r="F21" s="12">
        <v>24</v>
      </c>
    </row>
    <row r="22" spans="1:6" x14ac:dyDescent="0.3">
      <c r="A22" s="7" t="s">
        <v>124</v>
      </c>
      <c r="B22" s="12">
        <v>20010</v>
      </c>
      <c r="C22" s="1" t="s">
        <v>5</v>
      </c>
      <c r="D22" s="12">
        <v>0</v>
      </c>
      <c r="E22" s="1" t="s">
        <v>6</v>
      </c>
      <c r="F22" s="12">
        <v>24</v>
      </c>
    </row>
    <row r="23" spans="1:6" x14ac:dyDescent="0.3">
      <c r="A23" s="7" t="s">
        <v>125</v>
      </c>
      <c r="B23" s="12">
        <v>20012</v>
      </c>
      <c r="C23" s="1" t="s">
        <v>5</v>
      </c>
      <c r="D23" s="12">
        <v>0</v>
      </c>
      <c r="E23" s="1" t="s">
        <v>6</v>
      </c>
      <c r="F23" s="12">
        <v>24</v>
      </c>
    </row>
    <row r="24" spans="1:6" x14ac:dyDescent="0.3">
      <c r="A24" s="7" t="s">
        <v>126</v>
      </c>
      <c r="B24" s="12">
        <v>20014</v>
      </c>
      <c r="C24" s="1" t="s">
        <v>5</v>
      </c>
      <c r="D24" s="12">
        <v>0</v>
      </c>
      <c r="E24" s="1" t="s">
        <v>6</v>
      </c>
      <c r="F24" s="12">
        <v>24</v>
      </c>
    </row>
    <row r="25" spans="1:6" x14ac:dyDescent="0.3">
      <c r="A25" s="7" t="s">
        <v>127</v>
      </c>
      <c r="B25" s="12">
        <v>20016</v>
      </c>
      <c r="C25" s="1" t="s">
        <v>5</v>
      </c>
      <c r="D25" s="12">
        <v>0</v>
      </c>
      <c r="E25" s="1" t="s">
        <v>6</v>
      </c>
      <c r="F25" s="12">
        <v>24</v>
      </c>
    </row>
    <row r="26" spans="1:6" x14ac:dyDescent="0.3">
      <c r="A26" s="7" t="s">
        <v>128</v>
      </c>
      <c r="B26" s="12">
        <v>20018</v>
      </c>
      <c r="C26" s="1" t="s">
        <v>5</v>
      </c>
      <c r="D26" s="12">
        <v>0</v>
      </c>
      <c r="E26" s="1" t="s">
        <v>6</v>
      </c>
      <c r="F26" s="12">
        <v>24</v>
      </c>
    </row>
    <row r="27" spans="1:6" x14ac:dyDescent="0.3">
      <c r="A27" s="7" t="s">
        <v>129</v>
      </c>
      <c r="B27" s="12">
        <v>20020</v>
      </c>
      <c r="C27" s="1" t="s">
        <v>5</v>
      </c>
      <c r="D27" s="12">
        <v>0</v>
      </c>
      <c r="E27" s="1" t="s">
        <v>6</v>
      </c>
      <c r="F27" s="12">
        <v>24</v>
      </c>
    </row>
    <row r="28" spans="1:6" x14ac:dyDescent="0.3">
      <c r="A28" s="7" t="s">
        <v>130</v>
      </c>
      <c r="B28" s="12">
        <v>20022</v>
      </c>
      <c r="C28" s="1" t="s">
        <v>5</v>
      </c>
      <c r="D28" s="12">
        <v>0</v>
      </c>
      <c r="E28" s="1" t="s">
        <v>6</v>
      </c>
      <c r="F28" s="12">
        <v>24</v>
      </c>
    </row>
    <row r="29" spans="1:6" x14ac:dyDescent="0.3">
      <c r="A29" s="7" t="s">
        <v>131</v>
      </c>
      <c r="B29" s="12">
        <v>20024</v>
      </c>
      <c r="C29" s="1" t="s">
        <v>5</v>
      </c>
      <c r="D29" s="12">
        <v>0</v>
      </c>
      <c r="E29" s="1" t="s">
        <v>6</v>
      </c>
      <c r="F29" s="12">
        <v>24</v>
      </c>
    </row>
    <row r="30" spans="1:6" x14ac:dyDescent="0.3">
      <c r="A30" s="7" t="s">
        <v>132</v>
      </c>
      <c r="B30" s="12">
        <v>20026</v>
      </c>
      <c r="C30" s="1" t="s">
        <v>5</v>
      </c>
      <c r="D30" s="12">
        <v>0</v>
      </c>
      <c r="E30" s="1" t="s">
        <v>6</v>
      </c>
      <c r="F30" s="12">
        <v>24</v>
      </c>
    </row>
    <row r="31" spans="1:6" x14ac:dyDescent="0.3">
      <c r="A31" s="7" t="s">
        <v>133</v>
      </c>
      <c r="B31" s="12">
        <v>20028</v>
      </c>
      <c r="C31" s="1" t="s">
        <v>5</v>
      </c>
      <c r="D31" s="12">
        <v>0</v>
      </c>
      <c r="E31" s="1" t="s">
        <v>6</v>
      </c>
      <c r="F31" s="12">
        <v>24</v>
      </c>
    </row>
    <row r="32" spans="1:6" x14ac:dyDescent="0.3">
      <c r="A32" s="7" t="s">
        <v>134</v>
      </c>
      <c r="B32" s="12">
        <v>20030</v>
      </c>
      <c r="C32" s="1" t="s">
        <v>5</v>
      </c>
      <c r="D32" s="12">
        <v>0</v>
      </c>
      <c r="E32" s="1" t="s">
        <v>6</v>
      </c>
      <c r="F32" s="12">
        <v>24</v>
      </c>
    </row>
    <row r="33" spans="1:6" x14ac:dyDescent="0.3">
      <c r="A33" s="7" t="s">
        <v>135</v>
      </c>
      <c r="B33" s="12">
        <v>20032</v>
      </c>
      <c r="C33" s="1" t="s">
        <v>5</v>
      </c>
      <c r="D33" s="12">
        <v>0</v>
      </c>
      <c r="E33" s="1" t="s">
        <v>6</v>
      </c>
      <c r="F33" s="12">
        <v>24</v>
      </c>
    </row>
    <row r="34" spans="1:6" x14ac:dyDescent="0.3">
      <c r="A34" s="7" t="s">
        <v>136</v>
      </c>
      <c r="B34" s="12">
        <v>20034</v>
      </c>
      <c r="C34" s="1" t="s">
        <v>5</v>
      </c>
      <c r="D34" s="12">
        <v>0</v>
      </c>
      <c r="E34" s="1" t="s">
        <v>6</v>
      </c>
      <c r="F34" s="12">
        <v>24</v>
      </c>
    </row>
    <row r="35" spans="1:6" x14ac:dyDescent="0.3">
      <c r="A35" s="7" t="s">
        <v>137</v>
      </c>
      <c r="B35" s="12">
        <v>20036</v>
      </c>
      <c r="C35" s="1" t="s">
        <v>5</v>
      </c>
      <c r="D35" s="12">
        <v>0</v>
      </c>
      <c r="E35" s="1" t="s">
        <v>6</v>
      </c>
      <c r="F35" s="12">
        <v>24</v>
      </c>
    </row>
    <row r="36" spans="1:6" x14ac:dyDescent="0.3">
      <c r="A36" s="7" t="s">
        <v>138</v>
      </c>
      <c r="B36" s="12">
        <v>20038</v>
      </c>
      <c r="C36" s="1" t="s">
        <v>5</v>
      </c>
      <c r="D36" s="12">
        <v>0</v>
      </c>
      <c r="E36" s="1" t="s">
        <v>6</v>
      </c>
      <c r="F36" s="12">
        <v>24</v>
      </c>
    </row>
    <row r="37" spans="1:6" x14ac:dyDescent="0.3">
      <c r="A37" s="7" t="s">
        <v>139</v>
      </c>
      <c r="B37" s="12">
        <v>20040</v>
      </c>
      <c r="C37" s="1" t="s">
        <v>5</v>
      </c>
      <c r="D37" s="12">
        <v>0</v>
      </c>
      <c r="E37" s="1" t="s">
        <v>6</v>
      </c>
      <c r="F37" s="12">
        <v>24</v>
      </c>
    </row>
    <row r="38" spans="1:6" x14ac:dyDescent="0.3">
      <c r="A38" s="7" t="s">
        <v>140</v>
      </c>
      <c r="B38" s="12">
        <v>20042</v>
      </c>
      <c r="C38" s="1" t="s">
        <v>5</v>
      </c>
      <c r="D38" s="12">
        <v>0</v>
      </c>
      <c r="E38" s="1" t="s">
        <v>6</v>
      </c>
      <c r="F38" s="12">
        <v>24</v>
      </c>
    </row>
    <row r="39" spans="1:6" x14ac:dyDescent="0.3">
      <c r="A39" s="7" t="s">
        <v>141</v>
      </c>
      <c r="B39" s="12">
        <v>20044</v>
      </c>
      <c r="C39" s="1" t="s">
        <v>5</v>
      </c>
      <c r="D39" s="12">
        <v>0</v>
      </c>
      <c r="E39" s="1" t="s">
        <v>6</v>
      </c>
      <c r="F39" s="12">
        <v>24</v>
      </c>
    </row>
    <row r="40" spans="1:6" x14ac:dyDescent="0.3">
      <c r="A40" s="7" t="s">
        <v>142</v>
      </c>
      <c r="B40" s="12">
        <v>20046</v>
      </c>
      <c r="C40" s="1" t="s">
        <v>5</v>
      </c>
      <c r="D40" s="12">
        <v>0</v>
      </c>
      <c r="E40" s="1" t="s">
        <v>6</v>
      </c>
      <c r="F40" s="12">
        <v>24</v>
      </c>
    </row>
    <row r="41" spans="1:6" x14ac:dyDescent="0.3">
      <c r="A41" s="7" t="s">
        <v>143</v>
      </c>
      <c r="B41" s="12">
        <v>20048</v>
      </c>
      <c r="C41" s="1" t="s">
        <v>5</v>
      </c>
      <c r="D41" s="12">
        <v>0</v>
      </c>
      <c r="E41" s="1" t="s">
        <v>6</v>
      </c>
      <c r="F41" s="12">
        <v>24</v>
      </c>
    </row>
    <row r="42" spans="1:6" x14ac:dyDescent="0.3">
      <c r="A42" s="7" t="s">
        <v>144</v>
      </c>
      <c r="B42" s="12">
        <v>20050</v>
      </c>
      <c r="C42" s="1" t="s">
        <v>5</v>
      </c>
      <c r="D42" s="12">
        <v>0</v>
      </c>
      <c r="E42" s="1" t="s">
        <v>6</v>
      </c>
      <c r="F42" s="12">
        <v>24</v>
      </c>
    </row>
    <row r="43" spans="1:6" x14ac:dyDescent="0.3">
      <c r="A43" s="7" t="s">
        <v>145</v>
      </c>
      <c r="B43" s="12">
        <v>20052</v>
      </c>
      <c r="C43" s="1" t="s">
        <v>5</v>
      </c>
      <c r="D43" s="12">
        <v>0</v>
      </c>
      <c r="E43" s="1" t="s">
        <v>6</v>
      </c>
      <c r="F43" s="12">
        <v>24</v>
      </c>
    </row>
    <row r="44" spans="1:6" x14ac:dyDescent="0.3">
      <c r="A44" s="7" t="s">
        <v>146</v>
      </c>
      <c r="B44" s="12">
        <v>20054</v>
      </c>
      <c r="C44" s="1" t="s">
        <v>5</v>
      </c>
      <c r="D44" s="12">
        <v>0</v>
      </c>
      <c r="E44" s="1" t="s">
        <v>6</v>
      </c>
      <c r="F44" s="12">
        <v>24</v>
      </c>
    </row>
    <row r="45" spans="1:6" x14ac:dyDescent="0.3">
      <c r="A45" s="7" t="s">
        <v>147</v>
      </c>
      <c r="B45" s="12">
        <v>20058</v>
      </c>
      <c r="C45" s="1" t="s">
        <v>5</v>
      </c>
      <c r="D45" s="12">
        <v>0</v>
      </c>
      <c r="E45" s="1" t="s">
        <v>6</v>
      </c>
      <c r="F45" s="12">
        <v>24</v>
      </c>
    </row>
    <row r="46" spans="1:6" x14ac:dyDescent="0.3">
      <c r="A46" s="7" t="s">
        <v>148</v>
      </c>
      <c r="B46" s="12">
        <v>20060</v>
      </c>
      <c r="C46" s="1" t="s">
        <v>5</v>
      </c>
      <c r="D46" s="12">
        <v>0</v>
      </c>
      <c r="E46" s="1" t="s">
        <v>6</v>
      </c>
      <c r="F46" s="12">
        <v>24</v>
      </c>
    </row>
    <row r="47" spans="1:6" x14ac:dyDescent="0.3">
      <c r="A47" s="7" t="s">
        <v>110</v>
      </c>
      <c r="B47" s="12">
        <v>21000</v>
      </c>
      <c r="C47" s="1" t="s">
        <v>5</v>
      </c>
      <c r="D47" s="12">
        <v>0</v>
      </c>
      <c r="E47" s="1" t="s">
        <v>6</v>
      </c>
      <c r="F47" s="12">
        <v>24</v>
      </c>
    </row>
    <row r="48" spans="1:6" x14ac:dyDescent="0.3">
      <c r="A48" s="7" t="s">
        <v>111</v>
      </c>
      <c r="B48" s="12">
        <v>21002</v>
      </c>
      <c r="C48" s="1" t="s">
        <v>5</v>
      </c>
      <c r="D48" s="12">
        <v>0</v>
      </c>
      <c r="E48" s="1" t="s">
        <v>6</v>
      </c>
      <c r="F48" s="12">
        <v>24</v>
      </c>
    </row>
    <row r="49" spans="1:6" x14ac:dyDescent="0.3">
      <c r="A49" s="7" t="s">
        <v>112</v>
      </c>
      <c r="B49" s="12">
        <v>21004</v>
      </c>
      <c r="C49" s="1" t="s">
        <v>5</v>
      </c>
      <c r="D49" s="12">
        <v>0</v>
      </c>
      <c r="E49" s="1" t="s">
        <v>6</v>
      </c>
      <c r="F49" s="12">
        <v>24</v>
      </c>
    </row>
    <row r="50" spans="1:6" x14ac:dyDescent="0.3">
      <c r="A50" s="7" t="s">
        <v>113</v>
      </c>
      <c r="B50" s="12">
        <v>21006</v>
      </c>
      <c r="C50" s="1" t="s">
        <v>5</v>
      </c>
      <c r="D50" s="12">
        <v>0</v>
      </c>
      <c r="E50" s="1" t="s">
        <v>6</v>
      </c>
      <c r="F50" s="12">
        <v>24</v>
      </c>
    </row>
    <row r="51" spans="1:6" x14ac:dyDescent="0.3">
      <c r="A51" s="7" t="s">
        <v>114</v>
      </c>
      <c r="B51" s="12">
        <v>21008</v>
      </c>
      <c r="C51" s="1" t="s">
        <v>5</v>
      </c>
      <c r="D51" s="12">
        <v>0</v>
      </c>
      <c r="E51" s="1" t="s">
        <v>6</v>
      </c>
      <c r="F51" s="12">
        <v>24</v>
      </c>
    </row>
    <row r="52" spans="1:6" x14ac:dyDescent="0.3">
      <c r="A52" s="7" t="s">
        <v>115</v>
      </c>
      <c r="B52" s="12">
        <v>21010</v>
      </c>
      <c r="C52" s="1" t="s">
        <v>5</v>
      </c>
      <c r="D52" s="12">
        <v>0</v>
      </c>
      <c r="E52" s="1" t="s">
        <v>6</v>
      </c>
      <c r="F52" s="12">
        <v>24</v>
      </c>
    </row>
    <row r="53" spans="1:6" x14ac:dyDescent="0.3">
      <c r="A53" s="7" t="s">
        <v>116</v>
      </c>
      <c r="B53" s="12">
        <v>21012</v>
      </c>
      <c r="C53" s="1" t="s">
        <v>5</v>
      </c>
      <c r="D53" s="12">
        <v>0</v>
      </c>
      <c r="E53" s="1" t="s">
        <v>6</v>
      </c>
      <c r="F53" s="12">
        <v>24</v>
      </c>
    </row>
    <row r="54" spans="1:6" x14ac:dyDescent="0.3">
      <c r="A54" s="7" t="s">
        <v>117</v>
      </c>
      <c r="B54" s="12">
        <v>21014</v>
      </c>
      <c r="C54" s="1" t="s">
        <v>5</v>
      </c>
      <c r="D54" s="12">
        <v>0</v>
      </c>
      <c r="E54" s="1" t="s">
        <v>6</v>
      </c>
      <c r="F54" s="12">
        <v>24</v>
      </c>
    </row>
    <row r="55" spans="1:6" x14ac:dyDescent="0.3">
      <c r="A55" s="9" t="s">
        <v>118</v>
      </c>
      <c r="B55" s="13">
        <v>21016</v>
      </c>
      <c r="C55" s="10" t="s">
        <v>5</v>
      </c>
      <c r="D55" s="13">
        <v>0</v>
      </c>
      <c r="E55" s="10" t="s">
        <v>6</v>
      </c>
      <c r="F55" s="13">
        <v>24</v>
      </c>
    </row>
  </sheetData>
  <mergeCells count="3">
    <mergeCell ref="B5:E5"/>
    <mergeCell ref="B6:O9"/>
    <mergeCell ref="B10:F10"/>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I22"/>
  <sheetViews>
    <sheetView zoomScaleNormal="100" workbookViewId="0">
      <selection activeCell="B6" sqref="B6:D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9" ht="21" x14ac:dyDescent="0.4">
      <c r="A1" s="41" t="s">
        <v>84</v>
      </c>
      <c r="B1" s="40" t="s">
        <v>165</v>
      </c>
    </row>
    <row r="2" spans="1:9" ht="18" x14ac:dyDescent="0.35">
      <c r="B2" s="39" t="s">
        <v>164</v>
      </c>
    </row>
    <row r="5" spans="1:9" ht="14.4" x14ac:dyDescent="0.3">
      <c r="B5" s="1" t="s">
        <v>149</v>
      </c>
    </row>
    <row r="6" spans="1:9" ht="14.4" x14ac:dyDescent="0.3">
      <c r="A6" s="3" t="s">
        <v>53</v>
      </c>
      <c r="B6" s="55" t="s">
        <v>183</v>
      </c>
      <c r="C6" s="55"/>
      <c r="D6" s="55"/>
    </row>
    <row r="7" spans="1:9" ht="14.4" x14ac:dyDescent="0.3">
      <c r="A7" s="3" t="s">
        <v>151</v>
      </c>
      <c r="B7" s="56" t="s">
        <v>184</v>
      </c>
      <c r="C7" s="57"/>
      <c r="D7" s="57"/>
      <c r="E7" s="57"/>
      <c r="F7" s="57"/>
      <c r="G7" s="57"/>
      <c r="H7" s="57"/>
      <c r="I7" s="58"/>
    </row>
    <row r="8" spans="1:9" x14ac:dyDescent="0.3">
      <c r="B8" s="59"/>
      <c r="C8" s="53"/>
      <c r="D8" s="53"/>
      <c r="E8" s="53"/>
      <c r="F8" s="53"/>
      <c r="G8" s="53"/>
      <c r="H8" s="53"/>
      <c r="I8" s="60"/>
    </row>
    <row r="9" spans="1:9" x14ac:dyDescent="0.3">
      <c r="B9" s="61"/>
      <c r="C9" s="62"/>
      <c r="D9" s="62"/>
      <c r="E9" s="62"/>
      <c r="F9" s="62"/>
      <c r="G9" s="62"/>
      <c r="H9" s="62"/>
      <c r="I9" s="63"/>
    </row>
    <row r="10" spans="1:9" ht="23.4" x14ac:dyDescent="0.45">
      <c r="A10" s="18" t="s">
        <v>160</v>
      </c>
    </row>
    <row r="11" spans="1:9" ht="14.4" x14ac:dyDescent="0.3">
      <c r="A11" s="32" t="s">
        <v>85</v>
      </c>
      <c r="B11" s="17" t="s">
        <v>86</v>
      </c>
      <c r="C11" s="17" t="s">
        <v>87</v>
      </c>
    </row>
    <row r="12" spans="1:9" ht="14.4" x14ac:dyDescent="0.3">
      <c r="A12" s="32">
        <v>44927</v>
      </c>
      <c r="B12" s="17" t="s">
        <v>58</v>
      </c>
      <c r="C12" s="17">
        <v>200</v>
      </c>
    </row>
    <row r="13" spans="1:9" ht="14.4" x14ac:dyDescent="0.3">
      <c r="A13" s="32">
        <v>44928</v>
      </c>
      <c r="B13" s="17" t="s">
        <v>59</v>
      </c>
      <c r="C13" s="17" t="e">
        <v>#N/A</v>
      </c>
    </row>
    <row r="14" spans="1:9" ht="14.4" x14ac:dyDescent="0.3">
      <c r="A14" s="32">
        <v>44929</v>
      </c>
      <c r="B14" s="17" t="s">
        <v>60</v>
      </c>
      <c r="C14" s="17">
        <v>50</v>
      </c>
    </row>
    <row r="15" spans="1:9" ht="14.4" x14ac:dyDescent="0.3">
      <c r="A15" s="32">
        <v>44930</v>
      </c>
      <c r="B15" s="17" t="s">
        <v>61</v>
      </c>
      <c r="C15" s="17" t="e">
        <v>#N/A</v>
      </c>
    </row>
    <row r="16" spans="1:9" ht="14.4" x14ac:dyDescent="0.3">
      <c r="A16" s="32">
        <v>44931</v>
      </c>
      <c r="B16" s="17" t="s">
        <v>62</v>
      </c>
      <c r="C16" s="17">
        <v>10</v>
      </c>
    </row>
    <row r="17" spans="1:3" ht="14.4" x14ac:dyDescent="0.3">
      <c r="A17" s="32">
        <v>44932</v>
      </c>
      <c r="B17" s="17" t="s">
        <v>152</v>
      </c>
      <c r="C17" s="17">
        <v>150</v>
      </c>
    </row>
    <row r="18" spans="1:3" ht="14.4" x14ac:dyDescent="0.3">
      <c r="A18" s="32">
        <v>44933</v>
      </c>
      <c r="B18" s="17" t="s">
        <v>153</v>
      </c>
      <c r="C18" s="17">
        <v>80</v>
      </c>
    </row>
    <row r="19" spans="1:3" ht="14.4" x14ac:dyDescent="0.3">
      <c r="A19" s="32">
        <v>44934</v>
      </c>
      <c r="B19" s="17" t="s">
        <v>154</v>
      </c>
      <c r="C19" s="17" t="e">
        <v>#N/A</v>
      </c>
    </row>
    <row r="20" spans="1:3" ht="14.4" x14ac:dyDescent="0.3">
      <c r="A20" s="32">
        <v>44935</v>
      </c>
      <c r="B20" s="17" t="s">
        <v>155</v>
      </c>
      <c r="C20" s="17">
        <v>30</v>
      </c>
    </row>
    <row r="21" spans="1:3" ht="14.4" x14ac:dyDescent="0.3">
      <c r="A21" s="32">
        <v>44936</v>
      </c>
      <c r="B21" s="17" t="s">
        <v>156</v>
      </c>
      <c r="C21" s="17" t="e">
        <v>#N/A</v>
      </c>
    </row>
    <row r="22" spans="1:3" ht="14.4" x14ac:dyDescent="0.3">
      <c r="B22" s="17" t="s">
        <v>157</v>
      </c>
      <c r="C22" s="47" cm="1">
        <f t="array" ref="C22">SUM(IFERROR(C12:C21,20))</f>
        <v>600</v>
      </c>
    </row>
  </sheetData>
  <mergeCells count="2">
    <mergeCell ref="B6:D6"/>
    <mergeCell ref="B7:I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B4" sqref="B4:H4"/>
    </sheetView>
  </sheetViews>
  <sheetFormatPr defaultColWidth="11" defaultRowHeight="13.8" x14ac:dyDescent="0.3"/>
  <cols>
    <col min="1" max="1" width="31.44140625" style="2" customWidth="1"/>
    <col min="2" max="16384" width="11" style="2"/>
  </cols>
  <sheetData>
    <row r="1" spans="1:14" ht="21" x14ac:dyDescent="0.4">
      <c r="A1" s="41" t="s">
        <v>97</v>
      </c>
      <c r="B1" s="40" t="s">
        <v>173</v>
      </c>
    </row>
    <row r="3" spans="1:14" ht="14.4" x14ac:dyDescent="0.3">
      <c r="B3" s="1" t="s">
        <v>149</v>
      </c>
    </row>
    <row r="4" spans="1:14" ht="18" x14ac:dyDescent="0.35">
      <c r="A4" s="42" t="s">
        <v>53</v>
      </c>
      <c r="B4" s="66" t="s">
        <v>182</v>
      </c>
      <c r="C4" s="66"/>
      <c r="D4" s="66"/>
      <c r="E4" s="66"/>
      <c r="F4" s="66"/>
      <c r="G4" s="66"/>
      <c r="H4" s="66"/>
    </row>
    <row r="5" spans="1:14" ht="18" customHeight="1" x14ac:dyDescent="0.35">
      <c r="A5" s="42" t="s">
        <v>151</v>
      </c>
      <c r="B5" s="53" t="s">
        <v>185</v>
      </c>
      <c r="C5" s="53"/>
      <c r="D5" s="53"/>
      <c r="E5" s="53"/>
      <c r="F5" s="53"/>
      <c r="G5" s="53"/>
      <c r="H5" s="53"/>
      <c r="I5" s="53"/>
      <c r="J5" s="53"/>
      <c r="K5" s="53"/>
      <c r="L5" s="53"/>
    </row>
    <row r="6" spans="1:14" ht="14.4" x14ac:dyDescent="0.3">
      <c r="A6" s="3"/>
      <c r="B6" s="53"/>
      <c r="C6" s="53"/>
      <c r="D6" s="53"/>
      <c r="E6" s="53"/>
      <c r="F6" s="53"/>
      <c r="G6" s="53"/>
      <c r="H6" s="53"/>
      <c r="I6" s="53"/>
      <c r="J6" s="53"/>
      <c r="K6" s="53"/>
      <c r="L6" s="53"/>
    </row>
    <row r="7" spans="1:14" x14ac:dyDescent="0.3">
      <c r="B7" s="53"/>
      <c r="C7" s="53"/>
      <c r="D7" s="53"/>
      <c r="E7" s="53"/>
      <c r="F7" s="53"/>
      <c r="G7" s="53"/>
      <c r="H7" s="53"/>
      <c r="I7" s="53"/>
      <c r="J7" s="53"/>
      <c r="K7" s="53"/>
      <c r="L7" s="53"/>
    </row>
    <row r="8" spans="1:14" ht="23.4" x14ac:dyDescent="0.45">
      <c r="A8" s="18" t="s">
        <v>160</v>
      </c>
      <c r="M8" s="18" t="s">
        <v>161</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166</v>
      </c>
      <c r="M21" s="64" t="s">
        <v>181</v>
      </c>
      <c r="N21" s="65"/>
    </row>
    <row r="22" spans="1:14" ht="14.4" x14ac:dyDescent="0.3">
      <c r="A22" s="14" t="s">
        <v>99</v>
      </c>
      <c r="B22" s="17" t="s">
        <v>100</v>
      </c>
      <c r="C22" s="16" t="s">
        <v>101</v>
      </c>
      <c r="M22" s="65"/>
      <c r="N22" s="65"/>
    </row>
    <row r="23" spans="1:14" ht="14.4" x14ac:dyDescent="0.3">
      <c r="A23" s="7">
        <v>10100</v>
      </c>
      <c r="B23" s="12">
        <v>10102</v>
      </c>
      <c r="C23" s="49">
        <f>INDEX($B$10:$J$18,MATCH(M23, $A$10:$A$18, 0),MATCH(N23, $B$9:$J$9, 0))</f>
        <v>95</v>
      </c>
      <c r="M23" s="49" t="str" cm="1">
        <f t="array" ref="M23:M35">_xlfn.XLOOKUP(A23:A35,M10:M18,N10:N18)</f>
        <v>A</v>
      </c>
      <c r="N23" s="48" t="str" cm="1">
        <f t="array" ref="N23:N35">_xlfn.XLOOKUP(B23:B35,M10:M18,N10:N18)</f>
        <v>B</v>
      </c>
    </row>
    <row r="24" spans="1:14" ht="14.4" x14ac:dyDescent="0.3">
      <c r="A24" s="7">
        <v>10100</v>
      </c>
      <c r="B24" s="12">
        <v>10104</v>
      </c>
      <c r="C24" s="36">
        <f t="shared" ref="C24:C35" si="0">INDEX($B$10:$J$18,MATCH(M24, $A$10:$A$18, 0),MATCH(N24, $B$9:$J$9, 0))</f>
        <v>-1</v>
      </c>
      <c r="M24" s="36" t="str">
        <v>A</v>
      </c>
      <c r="N24" s="43" t="str">
        <v>C</v>
      </c>
    </row>
    <row r="25" spans="1:14" ht="14.4" x14ac:dyDescent="0.3">
      <c r="A25" s="7">
        <v>10108</v>
      </c>
      <c r="B25" s="12">
        <v>10102</v>
      </c>
      <c r="C25" s="36">
        <f t="shared" si="0"/>
        <v>160</v>
      </c>
      <c r="M25" s="36" t="str">
        <v>E</v>
      </c>
      <c r="N25" s="43" t="str">
        <v>B</v>
      </c>
    </row>
    <row r="26" spans="1:14" ht="14.4" x14ac:dyDescent="0.3">
      <c r="A26" s="7">
        <v>10100</v>
      </c>
      <c r="B26" s="12">
        <v>10106</v>
      </c>
      <c r="C26" s="36">
        <f t="shared" si="0"/>
        <v>185</v>
      </c>
      <c r="M26" s="36" t="str">
        <v>A</v>
      </c>
      <c r="N26" s="43" t="str">
        <v>D</v>
      </c>
    </row>
    <row r="27" spans="1:14" ht="14.4" x14ac:dyDescent="0.3">
      <c r="A27" s="7">
        <v>10108</v>
      </c>
      <c r="B27" s="12">
        <v>10110</v>
      </c>
      <c r="C27" s="36">
        <f t="shared" si="0"/>
        <v>50</v>
      </c>
      <c r="M27" s="36" t="str">
        <v>E</v>
      </c>
      <c r="N27" s="43" t="str">
        <v>F</v>
      </c>
    </row>
    <row r="28" spans="1:14" ht="14.4" x14ac:dyDescent="0.3">
      <c r="A28" s="7">
        <v>10102</v>
      </c>
      <c r="B28" s="12">
        <v>10104</v>
      </c>
      <c r="C28" s="36">
        <f t="shared" si="0"/>
        <v>-1</v>
      </c>
      <c r="M28" s="36" t="str">
        <v>B</v>
      </c>
      <c r="N28" s="43" t="str">
        <v>C</v>
      </c>
    </row>
    <row r="29" spans="1:14" ht="14.4" x14ac:dyDescent="0.3">
      <c r="A29" s="7">
        <v>10106</v>
      </c>
      <c r="B29" s="12">
        <v>10108</v>
      </c>
      <c r="C29" s="36">
        <f t="shared" si="0"/>
        <v>70</v>
      </c>
      <c r="M29" s="36" t="str">
        <v>D</v>
      </c>
      <c r="N29" s="43" t="str">
        <v>E</v>
      </c>
    </row>
    <row r="30" spans="1:14" ht="14.4" x14ac:dyDescent="0.3">
      <c r="A30" s="7">
        <v>10102</v>
      </c>
      <c r="B30" s="12">
        <v>10106</v>
      </c>
      <c r="C30" s="36">
        <f t="shared" si="0"/>
        <v>90</v>
      </c>
      <c r="M30" s="36" t="str">
        <v>B</v>
      </c>
      <c r="N30" s="43" t="str">
        <v>D</v>
      </c>
    </row>
    <row r="31" spans="1:14" ht="14.4" x14ac:dyDescent="0.3">
      <c r="A31" s="7">
        <v>10110</v>
      </c>
      <c r="B31" s="12">
        <v>10114</v>
      </c>
      <c r="C31" s="36">
        <f t="shared" si="0"/>
        <v>180</v>
      </c>
      <c r="M31" s="36" t="str">
        <v>F</v>
      </c>
      <c r="N31" s="43" t="str">
        <v>H</v>
      </c>
    </row>
    <row r="32" spans="1:14" ht="14.4" x14ac:dyDescent="0.3">
      <c r="A32" s="7">
        <v>10104</v>
      </c>
      <c r="B32" s="12">
        <v>10106</v>
      </c>
      <c r="C32" s="36">
        <f t="shared" si="0"/>
        <v>60</v>
      </c>
      <c r="M32" s="36" t="str">
        <v>C</v>
      </c>
      <c r="N32" s="43" t="str">
        <v>D</v>
      </c>
    </row>
    <row r="33" spans="1:14" ht="14.4" x14ac:dyDescent="0.3">
      <c r="A33" s="7">
        <v>10110</v>
      </c>
      <c r="B33" s="12">
        <v>10112</v>
      </c>
      <c r="C33" s="36">
        <f t="shared" si="0"/>
        <v>115</v>
      </c>
      <c r="M33" s="36" t="str">
        <v>F</v>
      </c>
      <c r="N33" s="43" t="str">
        <v>G</v>
      </c>
    </row>
    <row r="34" spans="1:14" ht="14.4" x14ac:dyDescent="0.3">
      <c r="A34" s="7">
        <v>10100</v>
      </c>
      <c r="B34" s="12">
        <v>10114</v>
      </c>
      <c r="C34" s="36">
        <f t="shared" si="0"/>
        <v>480</v>
      </c>
      <c r="M34" s="36" t="str">
        <v>A</v>
      </c>
      <c r="N34" s="43" t="str">
        <v>H</v>
      </c>
    </row>
    <row r="35" spans="1:14" ht="14.4" x14ac:dyDescent="0.3">
      <c r="A35" s="9">
        <v>10112</v>
      </c>
      <c r="B35" s="13">
        <v>10116</v>
      </c>
      <c r="C35" s="50">
        <f t="shared" si="0"/>
        <v>105</v>
      </c>
      <c r="M35" s="50" t="str">
        <v>G</v>
      </c>
      <c r="N35" s="44" t="str">
        <v>I</v>
      </c>
    </row>
  </sheetData>
  <mergeCells count="3">
    <mergeCell ref="M21:N22"/>
    <mergeCell ref="B4:H4"/>
    <mergeCell ref="B5:L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Ray Rex</cp:lastModifiedBy>
  <dcterms:created xsi:type="dcterms:W3CDTF">2015-02-10T17:33:11Z</dcterms:created>
  <dcterms:modified xsi:type="dcterms:W3CDTF">2024-10-23T16:44:53Z</dcterms:modified>
</cp:coreProperties>
</file>